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4a3d382cb40f201/01.project/50.K230_Universal_Detection_Basic/工艺BOM/"/>
    </mc:Choice>
  </mc:AlternateContent>
  <xr:revisionPtr revIDLastSave="131" documentId="13_ncr:1_{BCF1DE23-4CC4-4C3D-8016-B04AC7CC6BAF}" xr6:coauthVersionLast="47" xr6:coauthVersionMax="47" xr10:uidLastSave="{552884C7-1C6B-4F8A-AC2A-2BFCB47F8602}"/>
  <bookViews>
    <workbookView xWindow="-120" yWindow="-120" windowWidth="26115" windowHeight="16440" xr2:uid="{00000000-000D-0000-FFFF-FFFF00000000}"/>
  </bookViews>
  <sheets>
    <sheet name="物料bom生产裴勇" sheetId="1" r:id="rId1"/>
    <sheet name="研发费用" sheetId="6" r:id="rId2"/>
    <sheet name="设备工具清单" sheetId="3" r:id="rId3"/>
  </sheets>
  <definedNames>
    <definedName name="_xlnm._FilterDatabase" localSheetId="0" hidden="1">物料bom生产裴勇!$A$1:$K$1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  <c r="F10" i="6"/>
  <c r="J31" i="1" l="1"/>
</calcChain>
</file>

<file path=xl/sharedStrings.xml><?xml version="1.0" encoding="utf-8"?>
<sst xmlns="http://schemas.openxmlformats.org/spreadsheetml/2006/main" count="162" uniqueCount="94">
  <si>
    <t>序号</t>
    <phoneticPr fontId="1" type="noConversion"/>
  </si>
  <si>
    <t>名称</t>
    <phoneticPr fontId="1" type="noConversion"/>
  </si>
  <si>
    <t>参数</t>
    <phoneticPr fontId="1" type="noConversion"/>
  </si>
  <si>
    <t>备注</t>
    <phoneticPr fontId="1" type="noConversion"/>
  </si>
  <si>
    <t>型号</t>
    <phoneticPr fontId="1" type="noConversion"/>
  </si>
  <si>
    <t>品牌</t>
    <phoneticPr fontId="1" type="noConversion"/>
  </si>
  <si>
    <t>淘宝价格</t>
    <phoneticPr fontId="1" type="noConversion"/>
  </si>
  <si>
    <t>采购价</t>
    <phoneticPr fontId="1" type="noConversion"/>
  </si>
  <si>
    <t>数量</t>
    <phoneticPr fontId="1" type="noConversion"/>
  </si>
  <si>
    <t xml:space="preserve"> </t>
    <phoneticPr fontId="1" type="noConversion"/>
  </si>
  <si>
    <t>变量</t>
    <phoneticPr fontId="1" type="noConversion"/>
  </si>
  <si>
    <t>制作套数</t>
    <phoneticPr fontId="1" type="noConversion"/>
  </si>
  <si>
    <t>单台用量数量</t>
    <phoneticPr fontId="1" type="noConversion"/>
  </si>
  <si>
    <t>单位</t>
    <phoneticPr fontId="1" type="noConversion"/>
  </si>
  <si>
    <t>淘宝单价</t>
    <phoneticPr fontId="1" type="noConversion"/>
  </si>
  <si>
    <t>总价</t>
    <phoneticPr fontId="1" type="noConversion"/>
  </si>
  <si>
    <t>单价</t>
    <phoneticPr fontId="1" type="noConversion"/>
  </si>
  <si>
    <t>工时单价</t>
    <phoneticPr fontId="1" type="noConversion"/>
  </si>
  <si>
    <t>内容</t>
    <phoneticPr fontId="1" type="noConversion"/>
  </si>
  <si>
    <t>详情</t>
    <phoneticPr fontId="1" type="noConversion"/>
  </si>
  <si>
    <t>K230模块</t>
    <phoneticPr fontId="1" type="noConversion"/>
  </si>
  <si>
    <t>亚博</t>
    <phoneticPr fontId="1" type="noConversion"/>
  </si>
  <si>
    <t>K230</t>
    <phoneticPr fontId="1" type="noConversion"/>
  </si>
  <si>
    <t>豪华版带支架 64G卡+支架+风扇+屏幕</t>
    <phoneticPr fontId="1" type="noConversion"/>
  </si>
  <si>
    <t>个</t>
    <phoneticPr fontId="1" type="noConversion"/>
  </si>
  <si>
    <t>电路板</t>
    <phoneticPr fontId="1" type="noConversion"/>
  </si>
  <si>
    <t>嘉立创</t>
    <phoneticPr fontId="1" type="noConversion"/>
  </si>
  <si>
    <t>L3C2HB5035</t>
    <phoneticPr fontId="1" type="noConversion"/>
  </si>
  <si>
    <t>定制加工</t>
    <phoneticPr fontId="1" type="noConversion"/>
  </si>
  <si>
    <t>TZ-L2-03YYBR2TDJ30-001</t>
    <phoneticPr fontId="1" type="noConversion"/>
  </si>
  <si>
    <t>无</t>
    <phoneticPr fontId="1" type="noConversion"/>
  </si>
  <si>
    <t>红色  插件</t>
    <phoneticPr fontId="1" type="noConversion"/>
  </si>
  <si>
    <t>TZ-L2-03YYBY2YDJ30-001</t>
    <phoneticPr fontId="1" type="noConversion"/>
  </si>
  <si>
    <t>LED灯-红</t>
    <phoneticPr fontId="1" type="noConversion"/>
  </si>
  <si>
    <t>TZ-L2-03YYBG2GDJ30-001</t>
    <phoneticPr fontId="1" type="noConversion"/>
  </si>
  <si>
    <t>LED灯-黄</t>
    <phoneticPr fontId="1" type="noConversion"/>
  </si>
  <si>
    <t>LED灯-绿</t>
    <phoneticPr fontId="1" type="noConversion"/>
  </si>
  <si>
    <t>黄色  插件</t>
    <phoneticPr fontId="1" type="noConversion"/>
  </si>
  <si>
    <t>绿色  插件</t>
    <phoneticPr fontId="1" type="noConversion"/>
  </si>
  <si>
    <t>电阻</t>
    <phoneticPr fontId="1" type="noConversion"/>
  </si>
  <si>
    <t>MFR0W4F2000A50</t>
    <phoneticPr fontId="1" type="noConversion"/>
  </si>
  <si>
    <t>MF1/4W-4.7KΩ±1% T</t>
    <phoneticPr fontId="1" type="noConversion"/>
  </si>
  <si>
    <t>200欧</t>
    <phoneticPr fontId="1" type="noConversion"/>
  </si>
  <si>
    <t>4.7k欧</t>
    <phoneticPr fontId="1" type="noConversion"/>
  </si>
  <si>
    <t>微动按钮</t>
    <phoneticPr fontId="1" type="noConversion"/>
  </si>
  <si>
    <t>TC-1103T-B-B-蓝帽</t>
    <phoneticPr fontId="1" type="noConversion"/>
  </si>
  <si>
    <t>TC-1103T-B-B-绿帽</t>
    <phoneticPr fontId="1" type="noConversion"/>
  </si>
  <si>
    <t>轻触开关 12*12-蓝</t>
    <phoneticPr fontId="1" type="noConversion"/>
  </si>
  <si>
    <t>轻触开关 12*12-绿</t>
    <phoneticPr fontId="1" type="noConversion"/>
  </si>
  <si>
    <t>2P插座</t>
    <phoneticPr fontId="1" type="noConversion"/>
  </si>
  <si>
    <t>2P插头+端子</t>
    <phoneticPr fontId="1" type="noConversion"/>
  </si>
  <si>
    <t>套</t>
    <phoneticPr fontId="1" type="noConversion"/>
  </si>
  <si>
    <t>XH2.54-2p-座</t>
    <phoneticPr fontId="1" type="noConversion"/>
  </si>
  <si>
    <t>XH2.54-2p-头</t>
    <phoneticPr fontId="1" type="noConversion"/>
  </si>
  <si>
    <t>9P插座</t>
    <phoneticPr fontId="1" type="noConversion"/>
  </si>
  <si>
    <t>9P插头+端子</t>
    <phoneticPr fontId="1" type="noConversion"/>
  </si>
  <si>
    <t>XH2.54-9p-座</t>
    <phoneticPr fontId="1" type="noConversion"/>
  </si>
  <si>
    <t>XH2.54-9p-头</t>
    <phoneticPr fontId="1" type="noConversion"/>
  </si>
  <si>
    <t>xh2.45直针插座 2p</t>
    <phoneticPr fontId="1" type="noConversion"/>
  </si>
  <si>
    <t>xh2.45胶壳+端子 2p</t>
    <phoneticPr fontId="1" type="noConversion"/>
  </si>
  <si>
    <t>xh2.45弯针插座 9p</t>
    <phoneticPr fontId="1" type="noConversion"/>
  </si>
  <si>
    <t>xh2.45胶壳+端子 9p</t>
    <phoneticPr fontId="1" type="noConversion"/>
  </si>
  <si>
    <t>环形LED照明</t>
    <phoneticPr fontId="1" type="noConversion"/>
  </si>
  <si>
    <t>90-112-5</t>
    <phoneticPr fontId="1" type="noConversion"/>
  </si>
  <si>
    <t>内口90mm 外径112 供电5v 功率10w</t>
    <phoneticPr fontId="1" type="noConversion"/>
  </si>
  <si>
    <t>电池</t>
    <phoneticPr fontId="1" type="noConversion"/>
  </si>
  <si>
    <t>2170x2</t>
    <phoneticPr fontId="1" type="noConversion"/>
  </si>
  <si>
    <t>10000毫安时 2接2170 可同时充放电 带过充保护</t>
    <phoneticPr fontId="1" type="noConversion"/>
  </si>
  <si>
    <t>船型开关-黑</t>
    <phoneticPr fontId="1" type="noConversion"/>
  </si>
  <si>
    <t>船型开关-红</t>
    <phoneticPr fontId="1" type="noConversion"/>
  </si>
  <si>
    <t>10*15 单开-黑</t>
    <phoneticPr fontId="1" type="noConversion"/>
  </si>
  <si>
    <t>10*15 单开-红</t>
    <phoneticPr fontId="1" type="noConversion"/>
  </si>
  <si>
    <t>磁吸式触点-2p</t>
    <phoneticPr fontId="1" type="noConversion"/>
  </si>
  <si>
    <t>2p-2.54PH-4.0H</t>
    <phoneticPr fontId="1" type="noConversion"/>
  </si>
  <si>
    <t>15V2A 2孔 磁吸工公母一对</t>
    <phoneticPr fontId="1" type="noConversion"/>
  </si>
  <si>
    <t>TYPE-C公母转换座</t>
    <phoneticPr fontId="1" type="noConversion"/>
  </si>
  <si>
    <t>TYPE-C-4P</t>
    <phoneticPr fontId="1" type="noConversion"/>
  </si>
  <si>
    <t>TYPE-C母座转公头 P4线 黑色</t>
    <phoneticPr fontId="1" type="noConversion"/>
  </si>
  <si>
    <t>杜邦插座2.54</t>
    <phoneticPr fontId="1" type="noConversion"/>
  </si>
  <si>
    <t>杜邦2*6</t>
    <phoneticPr fontId="1" type="noConversion"/>
  </si>
  <si>
    <t>黑色杜邦插头 6X2排+端子</t>
    <phoneticPr fontId="1" type="noConversion"/>
  </si>
  <si>
    <t>M3*6沉头螺钉</t>
    <phoneticPr fontId="1" type="noConversion"/>
  </si>
  <si>
    <t>M3+6</t>
    <phoneticPr fontId="1" type="noConversion"/>
  </si>
  <si>
    <t>黑色</t>
    <phoneticPr fontId="1" type="noConversion"/>
  </si>
  <si>
    <t>m2x4圆头自攻螺钉</t>
    <phoneticPr fontId="1" type="noConversion"/>
  </si>
  <si>
    <t>M2*4</t>
    <phoneticPr fontId="1" type="noConversion"/>
  </si>
  <si>
    <t>镀锌</t>
    <phoneticPr fontId="1" type="noConversion"/>
  </si>
  <si>
    <t>01.整体外壳</t>
    <phoneticPr fontId="1" type="noConversion"/>
  </si>
  <si>
    <t>02.灯罩</t>
    <phoneticPr fontId="1" type="noConversion"/>
  </si>
  <si>
    <t>03.手柄盖</t>
    <phoneticPr fontId="1" type="noConversion"/>
  </si>
  <si>
    <t>04.K230保持架</t>
    <phoneticPr fontId="1" type="noConversion"/>
  </si>
  <si>
    <t>11.面板灯孔</t>
    <phoneticPr fontId="1" type="noConversion"/>
  </si>
  <si>
    <t>13.21700电池包</t>
    <phoneticPr fontId="1" type="noConversion"/>
  </si>
  <si>
    <t>16.手柄盖2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</si>
</sst>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34" sqref="E34"/>
    </sheetView>
  </sheetViews>
  <sheetFormatPr defaultRowHeight="14.25" x14ac:dyDescent="0.2"/>
  <cols>
    <col min="2" max="2" width="30.125" bestFit="1" customWidth="1"/>
    <col min="3" max="3" width="19.5" bestFit="1" customWidth="1"/>
    <col min="4" max="4" width="25" bestFit="1" customWidth="1"/>
    <col min="5" max="5" width="59.75" bestFit="1" customWidth="1"/>
    <col min="6" max="6" width="13" bestFit="1" customWidth="1"/>
    <col min="7" max="7" width="11.375" bestFit="1" customWidth="1"/>
  </cols>
  <sheetData>
    <row r="1" spans="1:14" x14ac:dyDescent="0.2">
      <c r="A1" s="1" t="s">
        <v>0</v>
      </c>
      <c r="B1" s="1" t="s">
        <v>1</v>
      </c>
      <c r="C1" s="1" t="s">
        <v>5</v>
      </c>
      <c r="D1" s="1" t="s">
        <v>4</v>
      </c>
      <c r="E1" s="1" t="s">
        <v>2</v>
      </c>
      <c r="F1" s="1" t="s">
        <v>12</v>
      </c>
      <c r="G1" s="1" t="s">
        <v>13</v>
      </c>
      <c r="H1" s="1" t="s">
        <v>14</v>
      </c>
      <c r="I1" s="1" t="s">
        <v>7</v>
      </c>
      <c r="J1" s="1" t="s">
        <v>15</v>
      </c>
      <c r="K1" s="1" t="s">
        <v>3</v>
      </c>
    </row>
    <row r="2" spans="1:14" x14ac:dyDescent="0.2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</v>
      </c>
      <c r="G2" s="2" t="s">
        <v>24</v>
      </c>
      <c r="H2" s="2">
        <v>380</v>
      </c>
      <c r="I2" s="3"/>
      <c r="J2" s="2">
        <f>F2*H2</f>
        <v>380</v>
      </c>
      <c r="K2" s="2"/>
      <c r="M2" t="s">
        <v>10</v>
      </c>
    </row>
    <row r="3" spans="1:14" x14ac:dyDescent="0.2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1</v>
      </c>
      <c r="G3" s="2" t="s">
        <v>24</v>
      </c>
      <c r="H3" s="2">
        <v>5</v>
      </c>
      <c r="I3" s="2"/>
      <c r="J3" s="2">
        <f t="shared" ref="J3:J30" si="0">F3*H3</f>
        <v>5</v>
      </c>
      <c r="K3" s="2"/>
      <c r="M3" t="s">
        <v>11</v>
      </c>
      <c r="N3">
        <v>10</v>
      </c>
    </row>
    <row r="4" spans="1:14" x14ac:dyDescent="0.2">
      <c r="A4" s="2">
        <v>3</v>
      </c>
      <c r="B4" s="2" t="s">
        <v>33</v>
      </c>
      <c r="C4" s="2" t="s">
        <v>30</v>
      </c>
      <c r="D4" s="2" t="s">
        <v>29</v>
      </c>
      <c r="E4" s="2" t="s">
        <v>31</v>
      </c>
      <c r="F4" s="2">
        <v>1</v>
      </c>
      <c r="G4" s="2" t="s">
        <v>24</v>
      </c>
      <c r="H4" s="2">
        <v>0.1</v>
      </c>
      <c r="I4" s="2"/>
      <c r="J4" s="2">
        <f t="shared" si="0"/>
        <v>0.1</v>
      </c>
      <c r="K4" s="2"/>
      <c r="M4" t="s">
        <v>17</v>
      </c>
      <c r="N4">
        <v>30</v>
      </c>
    </row>
    <row r="5" spans="1:14" x14ac:dyDescent="0.2">
      <c r="A5" s="2">
        <v>4</v>
      </c>
      <c r="B5" s="2" t="s">
        <v>35</v>
      </c>
      <c r="C5" s="2" t="s">
        <v>30</v>
      </c>
      <c r="D5" s="2" t="s">
        <v>32</v>
      </c>
      <c r="E5" s="2" t="s">
        <v>37</v>
      </c>
      <c r="F5" s="2">
        <v>1</v>
      </c>
      <c r="G5" s="2" t="s">
        <v>24</v>
      </c>
      <c r="H5" s="2">
        <v>0.1</v>
      </c>
      <c r="I5" s="2"/>
      <c r="J5" s="2">
        <f t="shared" si="0"/>
        <v>0.1</v>
      </c>
      <c r="K5" s="2"/>
    </row>
    <row r="6" spans="1:14" x14ac:dyDescent="0.2">
      <c r="A6" s="2">
        <v>5</v>
      </c>
      <c r="B6" s="2" t="s">
        <v>36</v>
      </c>
      <c r="C6" s="2" t="s">
        <v>30</v>
      </c>
      <c r="D6" s="2" t="s">
        <v>34</v>
      </c>
      <c r="E6" s="2" t="s">
        <v>38</v>
      </c>
      <c r="F6" s="2">
        <v>1</v>
      </c>
      <c r="G6" s="2" t="s">
        <v>24</v>
      </c>
      <c r="H6" s="2">
        <v>0.1</v>
      </c>
      <c r="I6" s="2"/>
      <c r="J6" s="2">
        <f t="shared" si="0"/>
        <v>0.1</v>
      </c>
      <c r="K6" s="2"/>
    </row>
    <row r="7" spans="1:14" x14ac:dyDescent="0.2">
      <c r="A7" s="2">
        <v>6</v>
      </c>
      <c r="B7" s="2" t="s">
        <v>39</v>
      </c>
      <c r="C7" s="2" t="s">
        <v>30</v>
      </c>
      <c r="D7" s="2" t="s">
        <v>40</v>
      </c>
      <c r="E7" s="2" t="s">
        <v>42</v>
      </c>
      <c r="F7" s="2">
        <v>3</v>
      </c>
      <c r="G7" s="2" t="s">
        <v>24</v>
      </c>
      <c r="H7" s="2">
        <v>0.1</v>
      </c>
      <c r="I7" s="2"/>
      <c r="J7" s="2">
        <f t="shared" si="0"/>
        <v>0.30000000000000004</v>
      </c>
      <c r="K7" s="2"/>
    </row>
    <row r="8" spans="1:14" x14ac:dyDescent="0.2">
      <c r="A8" s="2">
        <v>7</v>
      </c>
      <c r="B8" s="2" t="s">
        <v>39</v>
      </c>
      <c r="C8" s="2" t="s">
        <v>30</v>
      </c>
      <c r="D8" s="2" t="s">
        <v>41</v>
      </c>
      <c r="E8" s="2" t="s">
        <v>43</v>
      </c>
      <c r="F8" s="2">
        <v>2</v>
      </c>
      <c r="G8" s="2" t="s">
        <v>24</v>
      </c>
      <c r="H8" s="2">
        <v>0.1</v>
      </c>
      <c r="I8" s="2"/>
      <c r="J8" s="2">
        <f t="shared" si="0"/>
        <v>0.2</v>
      </c>
      <c r="K8" s="2"/>
    </row>
    <row r="9" spans="1:14" x14ac:dyDescent="0.2">
      <c r="A9" s="11">
        <v>8</v>
      </c>
      <c r="B9" s="11" t="s">
        <v>44</v>
      </c>
      <c r="C9" s="11" t="s">
        <v>30</v>
      </c>
      <c r="D9" s="11" t="s">
        <v>45</v>
      </c>
      <c r="E9" s="11" t="s">
        <v>47</v>
      </c>
      <c r="F9" s="11">
        <v>1</v>
      </c>
      <c r="G9" s="11" t="s">
        <v>24</v>
      </c>
      <c r="H9" s="11">
        <v>0.8</v>
      </c>
      <c r="I9" s="11"/>
      <c r="J9" s="11">
        <f t="shared" si="0"/>
        <v>0.8</v>
      </c>
      <c r="K9" s="11"/>
    </row>
    <row r="10" spans="1:14" x14ac:dyDescent="0.2">
      <c r="A10" s="11">
        <v>9</v>
      </c>
      <c r="B10" s="11" t="s">
        <v>44</v>
      </c>
      <c r="C10" s="11" t="s">
        <v>30</v>
      </c>
      <c r="D10" s="11" t="s">
        <v>46</v>
      </c>
      <c r="E10" s="11" t="s">
        <v>48</v>
      </c>
      <c r="F10" s="11">
        <v>1</v>
      </c>
      <c r="G10" s="11" t="s">
        <v>24</v>
      </c>
      <c r="H10" s="11">
        <v>0.8</v>
      </c>
      <c r="I10" s="11"/>
      <c r="J10" s="11">
        <f t="shared" si="0"/>
        <v>0.8</v>
      </c>
      <c r="K10" s="11"/>
    </row>
    <row r="11" spans="1:14" x14ac:dyDescent="0.2">
      <c r="A11" s="11">
        <v>10</v>
      </c>
      <c r="B11" s="11" t="s">
        <v>49</v>
      </c>
      <c r="C11" s="11" t="s">
        <v>30</v>
      </c>
      <c r="D11" s="11" t="s">
        <v>52</v>
      </c>
      <c r="E11" s="11" t="s">
        <v>58</v>
      </c>
      <c r="F11" s="11">
        <v>3</v>
      </c>
      <c r="G11" s="11" t="s">
        <v>24</v>
      </c>
      <c r="H11" s="11">
        <v>0.25</v>
      </c>
      <c r="I11" s="11"/>
      <c r="J11" s="11">
        <f t="shared" si="0"/>
        <v>0.75</v>
      </c>
      <c r="K11" s="11"/>
    </row>
    <row r="12" spans="1:14" x14ac:dyDescent="0.2">
      <c r="A12" s="11">
        <v>11</v>
      </c>
      <c r="B12" s="11" t="s">
        <v>50</v>
      </c>
      <c r="C12" s="11" t="s">
        <v>30</v>
      </c>
      <c r="D12" s="11" t="s">
        <v>53</v>
      </c>
      <c r="E12" s="11" t="s">
        <v>59</v>
      </c>
      <c r="F12" s="11">
        <v>3</v>
      </c>
      <c r="G12" s="11" t="s">
        <v>51</v>
      </c>
      <c r="H12" s="11">
        <v>0.37</v>
      </c>
      <c r="I12" s="11"/>
      <c r="J12" s="11">
        <f t="shared" si="0"/>
        <v>1.1099999999999999</v>
      </c>
      <c r="K12" s="11"/>
    </row>
    <row r="13" spans="1:14" x14ac:dyDescent="0.2">
      <c r="A13" s="11">
        <v>12</v>
      </c>
      <c r="B13" s="11" t="s">
        <v>54</v>
      </c>
      <c r="C13" s="11" t="s">
        <v>30</v>
      </c>
      <c r="D13" s="11" t="s">
        <v>56</v>
      </c>
      <c r="E13" s="11" t="s">
        <v>60</v>
      </c>
      <c r="F13" s="11">
        <v>1</v>
      </c>
      <c r="G13" s="11" t="s">
        <v>24</v>
      </c>
      <c r="H13" s="11">
        <v>0.2</v>
      </c>
      <c r="I13" s="11"/>
      <c r="J13" s="11">
        <f t="shared" si="0"/>
        <v>0.2</v>
      </c>
      <c r="K13" s="11"/>
    </row>
    <row r="14" spans="1:14" x14ac:dyDescent="0.2">
      <c r="A14" s="11">
        <v>13</v>
      </c>
      <c r="B14" s="11" t="s">
        <v>55</v>
      </c>
      <c r="C14" s="11" t="s">
        <v>30</v>
      </c>
      <c r="D14" s="11" t="s">
        <v>57</v>
      </c>
      <c r="E14" s="11" t="s">
        <v>61</v>
      </c>
      <c r="F14" s="11">
        <v>1</v>
      </c>
      <c r="G14" s="11" t="s">
        <v>51</v>
      </c>
      <c r="H14" s="11">
        <v>0.4</v>
      </c>
      <c r="I14" s="11"/>
      <c r="J14" s="11">
        <f t="shared" si="0"/>
        <v>0.4</v>
      </c>
      <c r="K14" s="11"/>
    </row>
    <row r="15" spans="1:14" x14ac:dyDescent="0.2">
      <c r="A15" s="11">
        <v>14</v>
      </c>
      <c r="B15" s="11" t="s">
        <v>62</v>
      </c>
      <c r="C15" s="11" t="s">
        <v>30</v>
      </c>
      <c r="D15" s="11" t="s">
        <v>63</v>
      </c>
      <c r="E15" s="11" t="s">
        <v>64</v>
      </c>
      <c r="F15" s="11">
        <v>1</v>
      </c>
      <c r="G15" s="11" t="s">
        <v>24</v>
      </c>
      <c r="H15" s="11">
        <v>6</v>
      </c>
      <c r="I15" s="11"/>
      <c r="J15" s="11">
        <f t="shared" si="0"/>
        <v>6</v>
      </c>
      <c r="K15" s="11"/>
    </row>
    <row r="16" spans="1:14" x14ac:dyDescent="0.2">
      <c r="A16" s="11">
        <v>15</v>
      </c>
      <c r="B16" s="11" t="s">
        <v>65</v>
      </c>
      <c r="C16" s="11" t="s">
        <v>30</v>
      </c>
      <c r="D16" s="11" t="s">
        <v>66</v>
      </c>
      <c r="E16" s="11" t="s">
        <v>67</v>
      </c>
      <c r="F16" s="11">
        <v>2</v>
      </c>
      <c r="G16" s="11" t="s">
        <v>24</v>
      </c>
      <c r="H16" s="11">
        <v>60</v>
      </c>
      <c r="I16" s="11"/>
      <c r="J16" s="11">
        <f t="shared" si="0"/>
        <v>120</v>
      </c>
      <c r="K16" s="11"/>
    </row>
    <row r="17" spans="1:11" x14ac:dyDescent="0.2">
      <c r="A17" s="11">
        <v>16</v>
      </c>
      <c r="B17" s="11" t="s">
        <v>68</v>
      </c>
      <c r="C17" s="11" t="s">
        <v>30</v>
      </c>
      <c r="D17" s="11" t="s">
        <v>70</v>
      </c>
      <c r="E17" s="11" t="s">
        <v>70</v>
      </c>
      <c r="F17" s="11">
        <v>1</v>
      </c>
      <c r="G17" s="11" t="s">
        <v>24</v>
      </c>
      <c r="H17" s="11">
        <v>1</v>
      </c>
      <c r="I17" s="11"/>
      <c r="J17" s="11">
        <f t="shared" si="0"/>
        <v>1</v>
      </c>
      <c r="K17" s="11"/>
    </row>
    <row r="18" spans="1:11" x14ac:dyDescent="0.2">
      <c r="A18" s="11">
        <v>17</v>
      </c>
      <c r="B18" s="11" t="s">
        <v>69</v>
      </c>
      <c r="C18" s="11" t="s">
        <v>30</v>
      </c>
      <c r="D18" s="11" t="s">
        <v>71</v>
      </c>
      <c r="E18" s="11" t="s">
        <v>71</v>
      </c>
      <c r="F18" s="11">
        <v>1</v>
      </c>
      <c r="G18" s="11" t="s">
        <v>24</v>
      </c>
      <c r="H18" s="11">
        <v>1</v>
      </c>
      <c r="I18" s="11"/>
      <c r="J18" s="11">
        <f t="shared" si="0"/>
        <v>1</v>
      </c>
      <c r="K18" s="11"/>
    </row>
    <row r="19" spans="1:11" x14ac:dyDescent="0.2">
      <c r="A19" s="11">
        <v>18</v>
      </c>
      <c r="B19" s="11" t="s">
        <v>72</v>
      </c>
      <c r="C19" s="11" t="s">
        <v>30</v>
      </c>
      <c r="D19" s="11" t="s">
        <v>73</v>
      </c>
      <c r="E19" s="11" t="s">
        <v>74</v>
      </c>
      <c r="F19" s="11">
        <v>1</v>
      </c>
      <c r="G19" s="11" t="s">
        <v>51</v>
      </c>
      <c r="H19" s="11">
        <v>15</v>
      </c>
      <c r="I19" s="11"/>
      <c r="J19" s="11">
        <f t="shared" si="0"/>
        <v>15</v>
      </c>
      <c r="K19" s="11"/>
    </row>
    <row r="20" spans="1:11" x14ac:dyDescent="0.2">
      <c r="A20" s="11">
        <v>19</v>
      </c>
      <c r="B20" s="11" t="s">
        <v>75</v>
      </c>
      <c r="C20" s="11" t="s">
        <v>30</v>
      </c>
      <c r="D20" s="11" t="s">
        <v>76</v>
      </c>
      <c r="E20" s="11" t="s">
        <v>77</v>
      </c>
      <c r="F20" s="11">
        <v>2</v>
      </c>
      <c r="G20" s="11" t="s">
        <v>24</v>
      </c>
      <c r="H20" s="11">
        <v>4</v>
      </c>
      <c r="I20" s="11"/>
      <c r="J20" s="11">
        <f t="shared" si="0"/>
        <v>8</v>
      </c>
      <c r="K20" s="11"/>
    </row>
    <row r="21" spans="1:11" x14ac:dyDescent="0.2">
      <c r="A21" s="11">
        <v>20</v>
      </c>
      <c r="B21" s="11" t="s">
        <v>78</v>
      </c>
      <c r="C21" s="11" t="s">
        <v>30</v>
      </c>
      <c r="D21" s="11" t="s">
        <v>79</v>
      </c>
      <c r="E21" s="11" t="s">
        <v>80</v>
      </c>
      <c r="F21" s="11">
        <v>1</v>
      </c>
      <c r="G21" s="11" t="s">
        <v>51</v>
      </c>
      <c r="H21" s="11">
        <v>2</v>
      </c>
      <c r="I21" s="11"/>
      <c r="J21" s="11">
        <f t="shared" si="0"/>
        <v>2</v>
      </c>
      <c r="K21" s="11"/>
    </row>
    <row r="22" spans="1:11" x14ac:dyDescent="0.2">
      <c r="A22" s="11">
        <v>21</v>
      </c>
      <c r="B22" s="11" t="s">
        <v>81</v>
      </c>
      <c r="C22" s="11" t="s">
        <v>30</v>
      </c>
      <c r="D22" s="11" t="s">
        <v>82</v>
      </c>
      <c r="E22" s="11" t="s">
        <v>83</v>
      </c>
      <c r="F22" s="11">
        <v>13</v>
      </c>
      <c r="G22" s="11" t="s">
        <v>24</v>
      </c>
      <c r="H22" s="11">
        <v>1.6E-2</v>
      </c>
      <c r="I22" s="11"/>
      <c r="J22" s="11">
        <f t="shared" si="0"/>
        <v>0.20800000000000002</v>
      </c>
      <c r="K22" s="11"/>
    </row>
    <row r="23" spans="1:11" x14ac:dyDescent="0.2">
      <c r="A23" s="11">
        <v>22</v>
      </c>
      <c r="B23" s="11" t="s">
        <v>84</v>
      </c>
      <c r="C23" s="11" t="s">
        <v>30</v>
      </c>
      <c r="D23" s="11" t="s">
        <v>85</v>
      </c>
      <c r="E23" s="11" t="s">
        <v>86</v>
      </c>
      <c r="F23" s="11">
        <v>10</v>
      </c>
      <c r="G23" s="11" t="s">
        <v>24</v>
      </c>
      <c r="H23" s="11">
        <v>0.01</v>
      </c>
      <c r="I23" s="11"/>
      <c r="J23" s="11">
        <f t="shared" si="0"/>
        <v>0.1</v>
      </c>
      <c r="K23" s="11"/>
    </row>
    <row r="24" spans="1:11" x14ac:dyDescent="0.2">
      <c r="A24" s="11">
        <v>23</v>
      </c>
      <c r="B24" s="11" t="s">
        <v>87</v>
      </c>
      <c r="C24" s="11" t="s">
        <v>30</v>
      </c>
      <c r="D24" s="11"/>
      <c r="E24" s="11"/>
      <c r="F24" s="11">
        <v>1</v>
      </c>
      <c r="G24" s="11" t="s">
        <v>24</v>
      </c>
      <c r="H24" s="11">
        <v>0</v>
      </c>
      <c r="I24" s="11"/>
      <c r="J24" s="11">
        <f t="shared" si="0"/>
        <v>0</v>
      </c>
      <c r="K24" s="11"/>
    </row>
    <row r="25" spans="1:11" x14ac:dyDescent="0.2">
      <c r="A25" s="2">
        <v>24</v>
      </c>
      <c r="B25" s="2" t="s">
        <v>88</v>
      </c>
      <c r="C25" s="11" t="s">
        <v>30</v>
      </c>
      <c r="D25" s="2"/>
      <c r="E25" s="2"/>
      <c r="F25" s="2">
        <v>1</v>
      </c>
      <c r="G25" s="2" t="s">
        <v>24</v>
      </c>
      <c r="H25" s="2">
        <v>0</v>
      </c>
      <c r="I25" s="2"/>
      <c r="J25" s="2">
        <f t="shared" si="0"/>
        <v>0</v>
      </c>
      <c r="K25" s="2"/>
    </row>
    <row r="26" spans="1:11" x14ac:dyDescent="0.2">
      <c r="A26" s="2">
        <v>25</v>
      </c>
      <c r="B26" s="2" t="s">
        <v>89</v>
      </c>
      <c r="C26" s="11" t="s">
        <v>30</v>
      </c>
      <c r="D26" s="2"/>
      <c r="E26" s="2"/>
      <c r="F26" s="2">
        <v>1</v>
      </c>
      <c r="G26" s="2" t="s">
        <v>24</v>
      </c>
      <c r="H26" s="2">
        <v>0</v>
      </c>
      <c r="I26" s="2"/>
      <c r="J26" s="2">
        <f t="shared" si="0"/>
        <v>0</v>
      </c>
      <c r="K26" s="2"/>
    </row>
    <row r="27" spans="1:11" x14ac:dyDescent="0.2">
      <c r="A27" s="2">
        <v>26</v>
      </c>
      <c r="B27" s="2" t="s">
        <v>90</v>
      </c>
      <c r="C27" s="11" t="s">
        <v>30</v>
      </c>
      <c r="D27" s="2"/>
      <c r="E27" s="2"/>
      <c r="F27" s="2">
        <v>1</v>
      </c>
      <c r="G27" s="2" t="s">
        <v>24</v>
      </c>
      <c r="H27" s="2">
        <v>0</v>
      </c>
      <c r="I27" s="2"/>
      <c r="J27" s="2">
        <f t="shared" si="0"/>
        <v>0</v>
      </c>
      <c r="K27" s="2"/>
    </row>
    <row r="28" spans="1:11" x14ac:dyDescent="0.2">
      <c r="A28" s="2">
        <v>27</v>
      </c>
      <c r="B28" s="2" t="s">
        <v>91</v>
      </c>
      <c r="C28" s="11" t="s">
        <v>30</v>
      </c>
      <c r="D28" s="2"/>
      <c r="E28" s="2"/>
      <c r="F28" s="2">
        <v>1</v>
      </c>
      <c r="G28" s="2" t="s">
        <v>24</v>
      </c>
      <c r="H28" s="2">
        <v>0</v>
      </c>
      <c r="I28" s="2"/>
      <c r="J28" s="2">
        <f t="shared" si="0"/>
        <v>0</v>
      </c>
      <c r="K28" s="2"/>
    </row>
    <row r="29" spans="1:11" x14ac:dyDescent="0.2">
      <c r="A29" s="2">
        <v>28</v>
      </c>
      <c r="B29" s="2" t="s">
        <v>92</v>
      </c>
      <c r="C29" s="11" t="s">
        <v>30</v>
      </c>
      <c r="D29" s="2"/>
      <c r="E29" s="2"/>
      <c r="F29" s="2">
        <v>1</v>
      </c>
      <c r="G29" s="2" t="s">
        <v>24</v>
      </c>
      <c r="H29" s="2">
        <v>0</v>
      </c>
      <c r="I29" s="2"/>
      <c r="J29" s="2">
        <f t="shared" si="0"/>
        <v>0</v>
      </c>
      <c r="K29" s="2"/>
    </row>
    <row r="30" spans="1:11" x14ac:dyDescent="0.2">
      <c r="A30" s="10">
        <v>29</v>
      </c>
      <c r="B30" s="10" t="s">
        <v>93</v>
      </c>
      <c r="C30" s="11" t="s">
        <v>30</v>
      </c>
      <c r="D30" s="10"/>
      <c r="E30" s="10"/>
      <c r="F30" s="10">
        <v>1</v>
      </c>
      <c r="G30" s="10" t="s">
        <v>24</v>
      </c>
      <c r="H30" s="10">
        <v>0</v>
      </c>
      <c r="I30" s="10"/>
      <c r="J30" s="2">
        <f t="shared" si="0"/>
        <v>0</v>
      </c>
      <c r="K30" s="10"/>
    </row>
    <row r="31" spans="1:11" x14ac:dyDescent="0.2">
      <c r="C31" s="7"/>
      <c r="D31" s="7"/>
      <c r="E31" s="7"/>
      <c r="F31" s="7"/>
      <c r="G31" s="7"/>
      <c r="H31" s="8"/>
      <c r="I31" s="9"/>
      <c r="J31" s="8">
        <f>SUM(J2:J30)</f>
        <v>543.16800000000012</v>
      </c>
      <c r="K31" s="7"/>
    </row>
  </sheetData>
  <autoFilter ref="A1:K1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4BFA-D246-4990-9564-E2A89E2DE763}">
  <dimension ref="A1:G10"/>
  <sheetViews>
    <sheetView workbookViewId="0">
      <selection activeCell="B2" sqref="B2:G9"/>
    </sheetView>
  </sheetViews>
  <sheetFormatPr defaultRowHeight="14.25" x14ac:dyDescent="0.2"/>
  <cols>
    <col min="1" max="1" width="5.25" style="6" bestFit="1" customWidth="1"/>
    <col min="2" max="2" width="16.125" customWidth="1"/>
    <col min="3" max="3" width="49.375" customWidth="1"/>
    <col min="4" max="6" width="16.125" customWidth="1"/>
  </cols>
  <sheetData>
    <row r="1" spans="1:7" x14ac:dyDescent="0.2">
      <c r="A1" s="1" t="s">
        <v>0</v>
      </c>
      <c r="B1" s="1" t="s">
        <v>18</v>
      </c>
      <c r="C1" s="1" t="s">
        <v>19</v>
      </c>
      <c r="D1" s="1" t="s">
        <v>8</v>
      </c>
      <c r="E1" s="1" t="s">
        <v>16</v>
      </c>
      <c r="F1" s="1" t="s">
        <v>15</v>
      </c>
      <c r="G1" s="1" t="s">
        <v>3</v>
      </c>
    </row>
    <row r="2" spans="1:7" x14ac:dyDescent="0.2">
      <c r="A2" s="5">
        <v>1</v>
      </c>
      <c r="B2" s="4"/>
      <c r="C2" s="4"/>
      <c r="D2" s="4"/>
      <c r="E2" s="4"/>
      <c r="F2" s="4"/>
      <c r="G2" s="4"/>
    </row>
    <row r="3" spans="1:7" x14ac:dyDescent="0.2">
      <c r="A3" s="5">
        <v>2</v>
      </c>
      <c r="B3" s="4"/>
      <c r="C3" s="4"/>
      <c r="D3" s="4"/>
      <c r="E3" s="4"/>
      <c r="F3" s="4"/>
      <c r="G3" s="4"/>
    </row>
    <row r="4" spans="1:7" x14ac:dyDescent="0.2">
      <c r="A4" s="5">
        <v>3</v>
      </c>
      <c r="B4" s="4"/>
      <c r="C4" s="4"/>
      <c r="D4" s="4"/>
      <c r="E4" s="4"/>
      <c r="F4" s="4"/>
      <c r="G4" s="4"/>
    </row>
    <row r="5" spans="1:7" x14ac:dyDescent="0.2">
      <c r="A5" s="5">
        <v>4</v>
      </c>
      <c r="B5" s="4"/>
      <c r="C5" s="4"/>
      <c r="D5" s="4"/>
      <c r="E5" s="4"/>
      <c r="F5" s="4"/>
      <c r="G5" s="4"/>
    </row>
    <row r="6" spans="1:7" x14ac:dyDescent="0.2">
      <c r="A6" s="5">
        <v>5</v>
      </c>
      <c r="B6" s="4"/>
      <c r="C6" s="4"/>
      <c r="D6" s="4"/>
      <c r="E6" s="4"/>
      <c r="F6" s="4"/>
      <c r="G6" s="4"/>
    </row>
    <row r="7" spans="1:7" x14ac:dyDescent="0.2">
      <c r="A7" s="5">
        <v>6</v>
      </c>
      <c r="B7" s="4"/>
      <c r="C7" s="4"/>
      <c r="D7" s="4"/>
      <c r="E7" s="4"/>
      <c r="F7" s="4"/>
      <c r="G7" s="4"/>
    </row>
    <row r="8" spans="1:7" x14ac:dyDescent="0.2">
      <c r="A8" s="5">
        <v>7</v>
      </c>
      <c r="B8" s="4"/>
      <c r="C8" s="4"/>
      <c r="D8" s="4"/>
      <c r="E8" s="4"/>
      <c r="F8" s="4"/>
      <c r="G8" s="4"/>
    </row>
    <row r="9" spans="1:7" x14ac:dyDescent="0.2">
      <c r="A9" s="5">
        <v>8</v>
      </c>
      <c r="B9" s="4"/>
      <c r="C9" s="4"/>
      <c r="D9" s="4"/>
      <c r="E9" s="4"/>
      <c r="F9" s="4"/>
      <c r="G9" s="4"/>
    </row>
    <row r="10" spans="1:7" x14ac:dyDescent="0.2">
      <c r="F10">
        <f>SUM(F2:F9)</f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0AF1-99C7-466E-9104-A5F83774CC1E}">
  <dimension ref="A1:I11"/>
  <sheetViews>
    <sheetView workbookViewId="0">
      <selection activeCell="B2" sqref="B2:H6"/>
    </sheetView>
  </sheetViews>
  <sheetFormatPr defaultRowHeight="14.25" x14ac:dyDescent="0.2"/>
  <cols>
    <col min="2" max="2" width="19.25" bestFit="1" customWidth="1"/>
    <col min="3" max="3" width="15.625" bestFit="1" customWidth="1"/>
    <col min="4" max="4" width="12.125" bestFit="1" customWidth="1"/>
    <col min="5" max="5" width="59.75" bestFit="1" customWidth="1"/>
    <col min="6" max="6" width="8.125" customWidth="1"/>
  </cols>
  <sheetData>
    <row r="1" spans="1:9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2</v>
      </c>
      <c r="F1" s="1" t="s">
        <v>8</v>
      </c>
      <c r="G1" s="1" t="s">
        <v>6</v>
      </c>
      <c r="H1" s="1" t="s">
        <v>7</v>
      </c>
      <c r="I1" s="1" t="s">
        <v>3</v>
      </c>
    </row>
    <row r="2" spans="1:9" x14ac:dyDescent="0.2">
      <c r="A2" s="2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2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2">
        <v>3</v>
      </c>
      <c r="B4" s="2"/>
      <c r="C4" s="2"/>
      <c r="D4" s="2"/>
      <c r="E4" s="2"/>
      <c r="F4" s="2"/>
      <c r="G4" s="2"/>
      <c r="H4" s="2"/>
      <c r="I4" s="2"/>
    </row>
    <row r="5" spans="1:9" x14ac:dyDescent="0.2">
      <c r="A5" s="2">
        <v>4</v>
      </c>
      <c r="B5" s="2"/>
      <c r="C5" s="2"/>
      <c r="D5" s="2"/>
      <c r="E5" s="2"/>
      <c r="F5" s="2"/>
      <c r="G5" s="2"/>
      <c r="H5" s="2"/>
      <c r="I5" s="2"/>
    </row>
    <row r="6" spans="1:9" x14ac:dyDescent="0.2">
      <c r="A6" s="2">
        <v>5</v>
      </c>
      <c r="B6" s="2"/>
      <c r="C6" s="2"/>
      <c r="D6" s="2"/>
      <c r="E6" s="2"/>
      <c r="F6" s="2"/>
      <c r="G6" s="2"/>
      <c r="H6" s="2"/>
      <c r="I6" s="2"/>
    </row>
    <row r="11" spans="1:9" x14ac:dyDescent="0.2">
      <c r="E11" t="s">
        <v>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物料bom生产裴勇</vt:lpstr>
      <vt:lpstr>研发费用</vt:lpstr>
      <vt:lpstr>设备工具清单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X16 PLUS</dc:creator>
  <cp:lastModifiedBy>立业 付</cp:lastModifiedBy>
  <dcterms:created xsi:type="dcterms:W3CDTF">2015-06-05T18:19:34Z</dcterms:created>
  <dcterms:modified xsi:type="dcterms:W3CDTF">2026-04-30T05:32:04Z</dcterms:modified>
</cp:coreProperties>
</file>